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CP_L_R/PARC_PFOA_mechanistic/Input/"/>
    </mc:Choice>
  </mc:AlternateContent>
  <xr:revisionPtr revIDLastSave="538" documentId="8_{C9023942-6A3A-4149-B285-76BEF2D7E8EE}" xr6:coauthVersionLast="47" xr6:coauthVersionMax="47" xr10:uidLastSave="{F2D4CF57-D9D9-424C-9E38-5D0B8A6FCAE6}"/>
  <bookViews>
    <workbookView xWindow="-110" yWindow="-110" windowWidth="19420" windowHeight="11500" xr2:uid="{6A12FC30-F897-4180-9CF6-6C73CF173883}"/>
  </bookViews>
  <sheets>
    <sheet name="Parmeters" sheetId="1" r:id="rId1"/>
  </sheets>
  <definedNames>
    <definedName name="_xlnm._FilterDatabase" localSheetId="0" hidden="1">Parmeters!$A$1:$I$58</definedName>
  </definedNames>
  <calcPr calcId="0"/>
</workbook>
</file>

<file path=xl/calcChain.xml><?xml version="1.0" encoding="utf-8"?>
<calcChain xmlns="http://schemas.openxmlformats.org/spreadsheetml/2006/main">
  <c r="I5" i="1" l="1"/>
  <c r="H5" i="1"/>
  <c r="I7" i="1"/>
  <c r="H7" i="1"/>
  <c r="H17" i="1"/>
  <c r="I17" i="1"/>
  <c r="H18" i="1"/>
  <c r="I18" i="1"/>
  <c r="I16" i="1"/>
  <c r="H16" i="1"/>
  <c r="I23" i="1"/>
  <c r="H23" i="1"/>
  <c r="I21" i="1"/>
  <c r="H21" i="1"/>
  <c r="H45" i="1"/>
  <c r="I45" i="1"/>
  <c r="I44" i="1"/>
  <c r="H44" i="1"/>
  <c r="E49" i="1" l="1"/>
  <c r="E47" i="1"/>
</calcChain>
</file>

<file path=xl/sharedStrings.xml><?xml version="1.0" encoding="utf-8"?>
<sst xmlns="http://schemas.openxmlformats.org/spreadsheetml/2006/main" count="421" uniqueCount="171">
  <si>
    <t>Binf</t>
  </si>
  <si>
    <t>Bsup</t>
  </si>
  <si>
    <t>BW</t>
  </si>
  <si>
    <t>QC</t>
  </si>
  <si>
    <t>Hct</t>
  </si>
  <si>
    <t>VKc</t>
  </si>
  <si>
    <t>VGc</t>
  </si>
  <si>
    <t>SA_SI</t>
  </si>
  <si>
    <t>VLc</t>
  </si>
  <si>
    <t>VL_icc</t>
  </si>
  <si>
    <t>VL_ecc</t>
  </si>
  <si>
    <t>VSkc</t>
  </si>
  <si>
    <t>VAc</t>
  </si>
  <si>
    <t>MAc</t>
  </si>
  <si>
    <t>QKc</t>
  </si>
  <si>
    <t>QGc</t>
  </si>
  <si>
    <t>QLc</t>
  </si>
  <si>
    <t>QSkc</t>
  </si>
  <si>
    <t>QAc</t>
  </si>
  <si>
    <t>QUrc</t>
  </si>
  <si>
    <t>GFRc</t>
  </si>
  <si>
    <t>QT</t>
  </si>
  <si>
    <t>tco</t>
  </si>
  <si>
    <t>R_T</t>
  </si>
  <si>
    <t>R_PTL</t>
  </si>
  <si>
    <t>R_L_ec</t>
  </si>
  <si>
    <t>fup</t>
  </si>
  <si>
    <t>pKa</t>
  </si>
  <si>
    <t>PKc</t>
  </si>
  <si>
    <t>PGc</t>
  </si>
  <si>
    <t>PLc</t>
  </si>
  <si>
    <t>PSkc</t>
  </si>
  <si>
    <t>PAc</t>
  </si>
  <si>
    <t>PRc</t>
  </si>
  <si>
    <t>Vmax_OAT4c</t>
  </si>
  <si>
    <t>Km_OAT4c</t>
  </si>
  <si>
    <t>SF_OAT</t>
  </si>
  <si>
    <t>Papp_SI</t>
  </si>
  <si>
    <t>Vmax_OATP1B1c</t>
  </si>
  <si>
    <t>Km_OATP1B1c</t>
  </si>
  <si>
    <t>Vmax_OATP1B3c</t>
  </si>
  <si>
    <t>Km_OATP1B3c</t>
  </si>
  <si>
    <t>VmaxBSEPc</t>
  </si>
  <si>
    <t>KmBSEPc</t>
  </si>
  <si>
    <t>SF_BSEP</t>
  </si>
  <si>
    <t>Parameter</t>
  </si>
  <si>
    <t>Initial_value</t>
  </si>
  <si>
    <t>Std</t>
  </si>
  <si>
    <t>Distribution</t>
  </si>
  <si>
    <t>Abbreviation</t>
  </si>
  <si>
    <t xml:space="preserve">Body weight </t>
  </si>
  <si>
    <t>Units</t>
  </si>
  <si>
    <t>kg</t>
  </si>
  <si>
    <t>Cardiac output</t>
  </si>
  <si>
    <t>L/day</t>
  </si>
  <si>
    <t>LogNormal</t>
  </si>
  <si>
    <t>Hematocrit</t>
  </si>
  <si>
    <t>NA</t>
  </si>
  <si>
    <t>Fractional volume of kidney</t>
  </si>
  <si>
    <t>VPTc</t>
  </si>
  <si>
    <t>VPTTc</t>
  </si>
  <si>
    <t>VPTLc</t>
  </si>
  <si>
    <t>VRKLc</t>
  </si>
  <si>
    <t>VGLc</t>
  </si>
  <si>
    <t>Fractional volume of gut</t>
  </si>
  <si>
    <t>Fractional volume of  proximal tubule</t>
  </si>
  <si>
    <t>Fractional volume of proximal tubule tissue</t>
  </si>
  <si>
    <t>Fractional volume of proximal tubule lumen</t>
  </si>
  <si>
    <t>Fractional volume of rest of kidney lumen</t>
  </si>
  <si>
    <t>Fractional volume of gut lumen</t>
  </si>
  <si>
    <t>Surface area of the small intestine</t>
  </si>
  <si>
    <t>Fractional volume of liver</t>
  </si>
  <si>
    <t>Fractional volume of liver extracellular space</t>
  </si>
  <si>
    <t>Fractional volume of live intracellular space</t>
  </si>
  <si>
    <t>Fractional volume of skin</t>
  </si>
  <si>
    <t>Fractional volume of skin barrier</t>
  </si>
  <si>
    <t>VSkBc</t>
  </si>
  <si>
    <t>Fractional volume of adipose</t>
  </si>
  <si>
    <t>Adipose mass</t>
  </si>
  <si>
    <t>Fractional volume of lung</t>
  </si>
  <si>
    <t>Vluc</t>
  </si>
  <si>
    <t>Fractional volume of arterial plasma</t>
  </si>
  <si>
    <t>Fractional volume of venous plasma</t>
  </si>
  <si>
    <t>VAPc</t>
  </si>
  <si>
    <t>VVPc</t>
  </si>
  <si>
    <t>Fractional blood flow to the skin</t>
  </si>
  <si>
    <t>Fractional blood flow to the gut</t>
  </si>
  <si>
    <t>Fractional blood flow to the liver</t>
  </si>
  <si>
    <t>Fractional blood flow to the kidney</t>
  </si>
  <si>
    <t>Fractional blood flow to the adipose</t>
  </si>
  <si>
    <t>Fractional urine flow rate</t>
  </si>
  <si>
    <t>Fractional glomerular filtration rate</t>
  </si>
  <si>
    <t>Fractional tubular fluid flow</t>
  </si>
  <si>
    <t>Colonic transit time</t>
  </si>
  <si>
    <t>SF_OATP1B1</t>
  </si>
  <si>
    <t>SF_OATP1B3</t>
  </si>
  <si>
    <t>PLuc</t>
  </si>
  <si>
    <t>Papp_SkB</t>
  </si>
  <si>
    <t>SA_SkB</t>
  </si>
  <si>
    <t>Surface area of the skin barrier</t>
  </si>
  <si>
    <t>cm2</t>
  </si>
  <si>
    <t>/day</t>
  </si>
  <si>
    <t>PFOA Fraction unbound in plasma</t>
  </si>
  <si>
    <t>PFOA Acid dissociation constant</t>
  </si>
  <si>
    <t>PFOA Partition coefficient to the skin</t>
  </si>
  <si>
    <t>PFOA Partition coefficient to the gut</t>
  </si>
  <si>
    <t>PFOA Partition coefficient to the liver</t>
  </si>
  <si>
    <t>PFOA Partition coefficient to the kidney</t>
  </si>
  <si>
    <t>PFOA Partition coefficient to the adipose</t>
  </si>
  <si>
    <t>PFOA Partition coefficient to the rest compartment</t>
  </si>
  <si>
    <t>PFOA Partition coefficient to the lungs</t>
  </si>
  <si>
    <t>PFOA Apparent permeability from skin barrier</t>
  </si>
  <si>
    <t>PFOA Apparent permeability from gut</t>
  </si>
  <si>
    <t>PFOA OATP1B1 Transporter maximum velocity</t>
  </si>
  <si>
    <t>PFOA OATP1B1 Transporter affinity</t>
  </si>
  <si>
    <t>PFOA OATP1B3 Transporter maximum velocity</t>
  </si>
  <si>
    <t>PFOA OATP1B3 Transporter affinity</t>
  </si>
  <si>
    <t>OATP1B1 IVIVE Scaling factor</t>
  </si>
  <si>
    <t>OATP1B3 IVIVE Scaling factor</t>
  </si>
  <si>
    <t>PFOA BSEP Transporter maximum velocity</t>
  </si>
  <si>
    <t>PFOA BSEP Transporter affinity</t>
  </si>
  <si>
    <t>BSEP IVIVE Scaling factor</t>
  </si>
  <si>
    <t>PFOA OAT4 Tranposter maximum velocity</t>
  </si>
  <si>
    <t>PFOA OAT4 Transporter affinity</t>
  </si>
  <si>
    <t>OAT IVIVE Scaling factor</t>
  </si>
  <si>
    <t>cm/s</t>
  </si>
  <si>
    <t>umol/min/mg protein</t>
  </si>
  <si>
    <t>ug/L</t>
  </si>
  <si>
    <t>umol/min/mg BSEP</t>
  </si>
  <si>
    <t>Albumin ratio between tissues and plasma</t>
  </si>
  <si>
    <t>Albumin ration between proximal tubule lumen and plasma</t>
  </si>
  <si>
    <t>Albumin ration between liver extracellular space and plasma</t>
  </si>
  <si>
    <t>Uncertainty</t>
  </si>
  <si>
    <t>Low</t>
  </si>
  <si>
    <t>Medium</t>
  </si>
  <si>
    <t>High</t>
  </si>
  <si>
    <t>Uniform</t>
  </si>
  <si>
    <t>Comment</t>
  </si>
  <si>
    <t>Reference</t>
  </si>
  <si>
    <t>Experimentally derived fup ranges from 0.00061 to 0.00245. Given the high binding affinity of PFOA to plasma proteins, most of the conventional methods could be under-predicting the fraction unbound. It was considered that the SPME method and results were the most accurate. (References: Ryu et al. 2024 https://doi.org/10.3390/toxics12040253; Smeltz et al. 2023 doi:10.1021/acs.chemrestox.3c00003.; Fischer et al. 2024 DOI: 10.1021/acs.est.3c07415</t>
  </si>
  <si>
    <t>Fischer et al. 2024 DOI: 10.1021/acs.est.3c07415</t>
  </si>
  <si>
    <t>https://pfas-1.itrcweb.org, Table 4-1 excel file, pKa sheet</t>
  </si>
  <si>
    <t xml:space="preserve">Calculated based on PFOA equilibrium distribution to tissue constituents from Allendorf et al. 2021 DOI: 10.1002/etc.4954. </t>
  </si>
  <si>
    <t>ICRP 89</t>
  </si>
  <si>
    <t xml:space="preserve">Calculated based on total body surface area except head and average thickness of the skin barrier </t>
  </si>
  <si>
    <t>SCCS 2021</t>
  </si>
  <si>
    <t>Calculated,  based on Willmann et al. 2004 doi: 10.1021/jm030999b</t>
  </si>
  <si>
    <t>Calculated based on Utsey et al. 2020 https://doi.org/10.1124/dmd.120.090498</t>
  </si>
  <si>
    <t>Calculated based on Utsey et al. 2020 https://doi.org/10.1124/dmd.120.090499</t>
  </si>
  <si>
    <t>Calculated based on Pletz et al. 2020 https://doi.org/10.1016/j.comtox.2021.100172</t>
  </si>
  <si>
    <t>Calculated based on Pletz et al. 2020 https://doi.org/10.1016/j.comtox.2021.100173</t>
  </si>
  <si>
    <t>Calculated based on Pletz et al. 2020 https://doi.org/10.1016/j.comtox.2021.100174</t>
  </si>
  <si>
    <t>Calculated based on Pletz et al. 2020 https://doi.org/10.1016/j.comtox.2021.100175</t>
  </si>
  <si>
    <t>Scotcher et al. 2016 https://doi.org/10.1016/j.ejps.2016.03.018,  Pletz et al. 2020 https://doi.org/10.1016/j.comtox.2021.100175</t>
  </si>
  <si>
    <t>Poulin and Theil 2009 DOI 10.1002/jps.21759</t>
  </si>
  <si>
    <t>Calculated based on albumin concentrations in the proximal tubule lumen from  Tojo and Satoshi  2012 doi:10.1155/2012/481520</t>
  </si>
  <si>
    <t>Utsey et al. 2020 https://doi.org/10.1124/dmd.120.090498</t>
  </si>
  <si>
    <t>Calculated based on OATP1B1 REF</t>
  </si>
  <si>
    <t>Calculated based on OATP1B REF</t>
  </si>
  <si>
    <t>Calculated based on OATP1B3 REF</t>
  </si>
  <si>
    <t>Louisse et al. 2024 doi.org/10.1016/j.tox.2024.153961</t>
  </si>
  <si>
    <t>Calculated based on OAT Relative expression factor</t>
  </si>
  <si>
    <t>Ragnarsdottir et al. 2024 https://doi.org/10.1016/j.envint.2024.108772</t>
  </si>
  <si>
    <t>Lin 2023 https://doi.org/10.1021/acs.est.2c05642</t>
  </si>
  <si>
    <t>Lin 2023 https://doi.org/10.1021/acs.est.2c05643</t>
  </si>
  <si>
    <t>Lin 2023 https://doi.org/10.1021/acs.est.2c05644</t>
  </si>
  <si>
    <t>Lin 2023 https://doi.org/10.1021/acs.est.2c05645</t>
  </si>
  <si>
    <t>Janssen et al. 2024 https://doi.org/10.1007/s00204-024-03851-x</t>
  </si>
  <si>
    <t>De Bruijn et al 2024 https://doi.org/10.14573/altex.2302011</t>
  </si>
  <si>
    <t>De Bruijn et al 2024 https://doi.org/10.14573/altex.2302012</t>
  </si>
  <si>
    <t>De Bruijn et al 2024 https://doi.org/10.14573/altex.2302013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</si>
</sst>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16" fillId="0" borderId="10" xfId="0" applyFont="1" applyBorder="1"/>
    <xf numFmtId="0" fontId="0" fillId="0" borderId="0" xfId="0" applyFont="1"/>
    <xf numFmtId="0" fontId="0" fillId="0" borderId="12" xfId="0" applyFont="1" applyBorder="1"/>
    <xf numFmtId="0" fontId="0" fillId="0" borderId="13" xfId="0" applyFont="1" applyBorder="1"/>
    <xf numFmtId="0" fontId="16" fillId="0" borderId="11" xfId="0" applyFont="1" applyBorder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EE3C-079C-40F7-BE24-011E90FFA3D2}">
  <dimension ref="A1:K58"/>
  <sheetViews>
    <sheetView tabSelected="1" zoomScaleNormal="100" workbookViewId="0">
      <pane ySplit="1" topLeftCell="A2" activePane="bottomLeft" state="frozen"/>
      <selection pane="bottomLeft" activeCell="J61" sqref="J61"/>
    </sheetView>
  </sheetViews>
  <sheetFormatPr defaultRowHeight="15" x14ac:dyDescent="0.25"/>
  <cols>
    <col min="1" max="1" width="55.7109375" style="3" bestFit="1" customWidth="1"/>
    <col min="2" max="2" width="15.7109375" bestFit="1" customWidth="1"/>
    <col min="3" max="3" width="20.140625" bestFit="1" customWidth="1"/>
    <col min="4" max="4" width="11.7109375" bestFit="1" customWidth="1"/>
    <col min="5" max="5" width="8.5703125" customWidth="1"/>
    <col min="6" max="6" width="11.42578125" bestFit="1" customWidth="1"/>
    <col min="10" max="10" width="10.85546875" customWidth="1"/>
  </cols>
  <sheetData>
    <row r="1" spans="1:11" s="2" customFormat="1" ht="15.75" thickBot="1" x14ac:dyDescent="0.3">
      <c r="A1" s="6" t="s">
        <v>45</v>
      </c>
      <c r="B1" s="2" t="s">
        <v>49</v>
      </c>
      <c r="C1" s="2" t="s">
        <v>51</v>
      </c>
      <c r="D1" s="2" t="s">
        <v>46</v>
      </c>
      <c r="E1" s="2" t="s">
        <v>47</v>
      </c>
      <c r="F1" s="2" t="s">
        <v>48</v>
      </c>
      <c r="G1" s="2" t="s">
        <v>132</v>
      </c>
      <c r="H1" s="2" t="s">
        <v>0</v>
      </c>
      <c r="I1" s="2" t="s">
        <v>1</v>
      </c>
      <c r="J1" s="2" t="s">
        <v>138</v>
      </c>
      <c r="K1" s="2" t="s">
        <v>137</v>
      </c>
    </row>
    <row r="2" spans="1:11" x14ac:dyDescent="0.25">
      <c r="A2" s="4" t="s">
        <v>50</v>
      </c>
      <c r="B2" t="s">
        <v>2</v>
      </c>
      <c r="C2" t="s">
        <v>52</v>
      </c>
      <c r="D2" s="1">
        <v>82</v>
      </c>
      <c r="E2" t="s">
        <v>57</v>
      </c>
      <c r="F2" s="9" t="s">
        <v>55</v>
      </c>
      <c r="G2" s="7" t="s">
        <v>133</v>
      </c>
      <c r="H2">
        <v>73.8</v>
      </c>
      <c r="I2">
        <v>90.2</v>
      </c>
      <c r="J2" t="s">
        <v>143</v>
      </c>
    </row>
    <row r="3" spans="1:11" x14ac:dyDescent="0.25">
      <c r="A3" s="5" t="s">
        <v>53</v>
      </c>
      <c r="B3" t="s">
        <v>3</v>
      </c>
      <c r="C3" t="s">
        <v>54</v>
      </c>
      <c r="D3" s="1">
        <v>4919.5413244512001</v>
      </c>
      <c r="E3" t="s">
        <v>57</v>
      </c>
      <c r="F3" s="9" t="s">
        <v>55</v>
      </c>
      <c r="G3" s="7" t="s">
        <v>133</v>
      </c>
      <c r="H3">
        <v>4427.5871920060799</v>
      </c>
      <c r="I3">
        <v>5411.4954568963203</v>
      </c>
      <c r="J3" t="s">
        <v>143</v>
      </c>
    </row>
    <row r="4" spans="1:11" x14ac:dyDescent="0.25">
      <c r="A4" s="5" t="s">
        <v>56</v>
      </c>
      <c r="B4" t="s">
        <v>4</v>
      </c>
      <c r="C4" t="s">
        <v>57</v>
      </c>
      <c r="D4" s="1">
        <v>0.46700000000000003</v>
      </c>
      <c r="E4" t="s">
        <v>57</v>
      </c>
      <c r="F4" s="9" t="s">
        <v>55</v>
      </c>
      <c r="G4" s="7" t="s">
        <v>133</v>
      </c>
      <c r="H4">
        <v>0.42030000000000001</v>
      </c>
      <c r="I4">
        <v>0.51370000000000005</v>
      </c>
      <c r="J4" t="s">
        <v>143</v>
      </c>
    </row>
    <row r="5" spans="1:11" x14ac:dyDescent="0.25">
      <c r="A5" s="5" t="s">
        <v>75</v>
      </c>
      <c r="B5" t="s">
        <v>76</v>
      </c>
      <c r="C5" t="s">
        <v>57</v>
      </c>
      <c r="D5" s="1">
        <v>18.602530000000002</v>
      </c>
      <c r="E5" t="s">
        <v>57</v>
      </c>
      <c r="F5" s="9" t="s">
        <v>55</v>
      </c>
      <c r="G5" s="10" t="s">
        <v>134</v>
      </c>
      <c r="H5" s="1">
        <f>D5*0.9</f>
        <v>16.742277000000001</v>
      </c>
      <c r="I5" s="1">
        <f>D5*1.1</f>
        <v>20.462783000000002</v>
      </c>
      <c r="J5" t="s">
        <v>57</v>
      </c>
      <c r="K5" t="s">
        <v>144</v>
      </c>
    </row>
    <row r="6" spans="1:11" x14ac:dyDescent="0.25">
      <c r="A6" s="5" t="s">
        <v>74</v>
      </c>
      <c r="B6" t="s">
        <v>11</v>
      </c>
      <c r="C6" t="s">
        <v>57</v>
      </c>
      <c r="D6" s="1">
        <v>4.5199999999999997E-2</v>
      </c>
      <c r="E6" t="s">
        <v>57</v>
      </c>
      <c r="F6" s="9" t="s">
        <v>55</v>
      </c>
      <c r="G6" s="7" t="s">
        <v>133</v>
      </c>
      <c r="H6">
        <v>4.0680000000000001E-2</v>
      </c>
      <c r="I6">
        <v>4.972E-2</v>
      </c>
      <c r="J6" t="s">
        <v>143</v>
      </c>
    </row>
    <row r="7" spans="1:11" x14ac:dyDescent="0.25">
      <c r="A7" s="5" t="s">
        <v>99</v>
      </c>
      <c r="B7" t="s">
        <v>98</v>
      </c>
      <c r="C7" t="s">
        <v>100</v>
      </c>
      <c r="D7" s="1">
        <v>15670</v>
      </c>
      <c r="E7" t="s">
        <v>57</v>
      </c>
      <c r="F7" s="9" t="s">
        <v>55</v>
      </c>
      <c r="G7" s="10" t="s">
        <v>134</v>
      </c>
      <c r="H7" s="1">
        <f>D7*0.9</f>
        <v>14103</v>
      </c>
      <c r="I7" s="1">
        <f>D7*1.1</f>
        <v>17237</v>
      </c>
      <c r="J7" t="s">
        <v>145</v>
      </c>
    </row>
    <row r="8" spans="1:11" x14ac:dyDescent="0.25">
      <c r="A8" s="5" t="s">
        <v>64</v>
      </c>
      <c r="B8" t="s">
        <v>6</v>
      </c>
      <c r="C8" t="s">
        <v>57</v>
      </c>
      <c r="D8" s="1">
        <v>1.4E-2</v>
      </c>
      <c r="E8" t="s">
        <v>57</v>
      </c>
      <c r="F8" s="9" t="s">
        <v>55</v>
      </c>
      <c r="G8" s="7" t="s">
        <v>133</v>
      </c>
      <c r="H8">
        <v>1.26E-2</v>
      </c>
      <c r="I8">
        <v>1.54E-2</v>
      </c>
      <c r="J8" t="s">
        <v>143</v>
      </c>
    </row>
    <row r="9" spans="1:11" x14ac:dyDescent="0.25">
      <c r="A9" s="5" t="s">
        <v>69</v>
      </c>
      <c r="B9" t="s">
        <v>63</v>
      </c>
      <c r="C9" t="s">
        <v>57</v>
      </c>
      <c r="D9" s="1">
        <v>1.6630806109941001</v>
      </c>
      <c r="E9" t="s">
        <v>57</v>
      </c>
      <c r="F9" s="9" t="s">
        <v>55</v>
      </c>
      <c r="G9" s="7" t="s">
        <v>133</v>
      </c>
      <c r="H9">
        <v>1.49677254989469</v>
      </c>
      <c r="I9">
        <v>1.82938867209351</v>
      </c>
      <c r="J9" t="s">
        <v>143</v>
      </c>
    </row>
    <row r="10" spans="1:11" x14ac:dyDescent="0.25">
      <c r="A10" s="5" t="s">
        <v>70</v>
      </c>
      <c r="B10" t="s">
        <v>7</v>
      </c>
      <c r="C10" t="s">
        <v>100</v>
      </c>
      <c r="D10" s="1">
        <v>60475.6585816035</v>
      </c>
      <c r="E10" t="s">
        <v>57</v>
      </c>
      <c r="F10" s="9" t="s">
        <v>55</v>
      </c>
      <c r="G10" s="10" t="s">
        <v>134</v>
      </c>
      <c r="H10">
        <v>54428.092723443202</v>
      </c>
      <c r="I10">
        <v>66523.224439763901</v>
      </c>
      <c r="J10" t="s">
        <v>57</v>
      </c>
      <c r="K10" t="s">
        <v>146</v>
      </c>
    </row>
    <row r="11" spans="1:11" x14ac:dyDescent="0.25">
      <c r="A11" s="5" t="s">
        <v>71</v>
      </c>
      <c r="B11" t="s">
        <v>8</v>
      </c>
      <c r="C11" t="s">
        <v>57</v>
      </c>
      <c r="D11" s="1">
        <v>2.4700033802061799E-2</v>
      </c>
      <c r="E11" t="s">
        <v>57</v>
      </c>
      <c r="F11" s="9" t="s">
        <v>55</v>
      </c>
      <c r="G11" s="7" t="s">
        <v>133</v>
      </c>
      <c r="H11">
        <v>2.22300304218556E-2</v>
      </c>
      <c r="I11">
        <v>2.7170037182268E-2</v>
      </c>
      <c r="J11" t="s">
        <v>143</v>
      </c>
    </row>
    <row r="12" spans="1:11" x14ac:dyDescent="0.25">
      <c r="A12" s="5" t="s">
        <v>73</v>
      </c>
      <c r="B12" t="s">
        <v>9</v>
      </c>
      <c r="C12" t="s">
        <v>57</v>
      </c>
      <c r="D12" s="1">
        <v>0.57299999999999995</v>
      </c>
      <c r="E12" t="s">
        <v>57</v>
      </c>
      <c r="F12" s="9" t="s">
        <v>55</v>
      </c>
      <c r="G12" s="7" t="s">
        <v>133</v>
      </c>
      <c r="H12">
        <v>0.51570000000000005</v>
      </c>
      <c r="I12">
        <v>0.63029999999999997</v>
      </c>
      <c r="J12" t="s">
        <v>57</v>
      </c>
      <c r="K12" t="s">
        <v>147</v>
      </c>
    </row>
    <row r="13" spans="1:11" x14ac:dyDescent="0.25">
      <c r="A13" s="5" t="s">
        <v>72</v>
      </c>
      <c r="B13" t="s">
        <v>10</v>
      </c>
      <c r="C13" t="s">
        <v>57</v>
      </c>
      <c r="D13" s="1">
        <v>0.42699999999999999</v>
      </c>
      <c r="E13" t="s">
        <v>57</v>
      </c>
      <c r="F13" s="9" t="s">
        <v>55</v>
      </c>
      <c r="G13" s="7" t="s">
        <v>133</v>
      </c>
      <c r="H13">
        <v>0.38429999999999997</v>
      </c>
      <c r="I13">
        <v>0.46970000000000001</v>
      </c>
      <c r="J13" t="s">
        <v>57</v>
      </c>
      <c r="K13" t="s">
        <v>148</v>
      </c>
    </row>
    <row r="14" spans="1:11" x14ac:dyDescent="0.25">
      <c r="A14" s="5" t="s">
        <v>58</v>
      </c>
      <c r="B14" t="s">
        <v>5</v>
      </c>
      <c r="C14" t="s">
        <v>57</v>
      </c>
      <c r="D14" s="1">
        <v>4.2000148747501102E-3</v>
      </c>
      <c r="E14" t="s">
        <v>57</v>
      </c>
      <c r="F14" s="9" t="s">
        <v>55</v>
      </c>
      <c r="G14" s="7" t="s">
        <v>133</v>
      </c>
      <c r="H14">
        <v>3.7800133872751E-3</v>
      </c>
      <c r="I14">
        <v>4.6200163622251199E-3</v>
      </c>
      <c r="J14" t="s">
        <v>143</v>
      </c>
    </row>
    <row r="15" spans="1:11" x14ac:dyDescent="0.25">
      <c r="A15" s="5" t="s">
        <v>65</v>
      </c>
      <c r="B15" t="s">
        <v>59</v>
      </c>
      <c r="C15" t="s">
        <v>57</v>
      </c>
      <c r="D15" s="1">
        <v>0.39800000000000002</v>
      </c>
      <c r="E15" t="s">
        <v>57</v>
      </c>
      <c r="F15" s="9" t="s">
        <v>55</v>
      </c>
      <c r="G15" s="7" t="s">
        <v>133</v>
      </c>
      <c r="H15">
        <v>6.4636046627082597E-2</v>
      </c>
      <c r="I15">
        <v>7.8999612544212006E-2</v>
      </c>
      <c r="J15" t="s">
        <v>57</v>
      </c>
      <c r="K15" t="s">
        <v>149</v>
      </c>
    </row>
    <row r="16" spans="1:11" x14ac:dyDescent="0.25">
      <c r="A16" s="5" t="s">
        <v>66</v>
      </c>
      <c r="B16" t="s">
        <v>60</v>
      </c>
      <c r="C16" t="s">
        <v>57</v>
      </c>
      <c r="D16" s="1">
        <v>0.53302099999999997</v>
      </c>
      <c r="E16" t="s">
        <v>57</v>
      </c>
      <c r="F16" s="9" t="s">
        <v>55</v>
      </c>
      <c r="G16" s="7" t="s">
        <v>133</v>
      </c>
      <c r="H16" s="1">
        <f>D16*0.9</f>
        <v>0.4797189</v>
      </c>
      <c r="I16" s="1">
        <f>D16*1.1</f>
        <v>0.58632309999999999</v>
      </c>
      <c r="J16" t="s">
        <v>57</v>
      </c>
      <c r="K16" t="s">
        <v>150</v>
      </c>
    </row>
    <row r="17" spans="1:11" x14ac:dyDescent="0.25">
      <c r="A17" s="5" t="s">
        <v>67</v>
      </c>
      <c r="B17" t="s">
        <v>61</v>
      </c>
      <c r="C17" t="s">
        <v>57</v>
      </c>
      <c r="D17" s="1">
        <v>0.40300000000000002</v>
      </c>
      <c r="E17" t="s">
        <v>57</v>
      </c>
      <c r="F17" s="9" t="s">
        <v>55</v>
      </c>
      <c r="G17" s="7" t="s">
        <v>133</v>
      </c>
      <c r="H17" s="1">
        <f t="shared" ref="H17:H18" si="0">D17*0.9</f>
        <v>0.36270000000000002</v>
      </c>
      <c r="I17" s="1">
        <f t="shared" ref="I17:I18" si="1">D17*1.1</f>
        <v>0.44330000000000008</v>
      </c>
      <c r="J17" t="s">
        <v>57</v>
      </c>
      <c r="K17" t="s">
        <v>151</v>
      </c>
    </row>
    <row r="18" spans="1:11" x14ac:dyDescent="0.25">
      <c r="A18" s="5" t="s">
        <v>68</v>
      </c>
      <c r="B18" t="s">
        <v>62</v>
      </c>
      <c r="C18" t="s">
        <v>57</v>
      </c>
      <c r="D18" s="1">
        <v>0.28299999999999997</v>
      </c>
      <c r="E18" t="s">
        <v>57</v>
      </c>
      <c r="F18" s="9" t="s">
        <v>55</v>
      </c>
      <c r="G18" s="7" t="s">
        <v>133</v>
      </c>
      <c r="H18" s="1">
        <f t="shared" si="0"/>
        <v>0.25469999999999998</v>
      </c>
      <c r="I18" s="1">
        <f t="shared" si="1"/>
        <v>0.31130000000000002</v>
      </c>
      <c r="J18" t="s">
        <v>57</v>
      </c>
      <c r="K18" t="s">
        <v>152</v>
      </c>
    </row>
    <row r="19" spans="1:11" x14ac:dyDescent="0.25">
      <c r="A19" s="5" t="s">
        <v>77</v>
      </c>
      <c r="B19" t="s">
        <v>12</v>
      </c>
      <c r="C19" t="s">
        <v>57</v>
      </c>
      <c r="D19" s="1">
        <v>0.27798761490552099</v>
      </c>
      <c r="E19" t="s">
        <v>57</v>
      </c>
      <c r="F19" s="9" t="s">
        <v>55</v>
      </c>
      <c r="G19" s="7" t="s">
        <v>133</v>
      </c>
      <c r="H19">
        <v>0.25018885341496899</v>
      </c>
      <c r="I19">
        <v>0.30578637639607298</v>
      </c>
      <c r="J19" t="s">
        <v>143</v>
      </c>
    </row>
    <row r="20" spans="1:11" x14ac:dyDescent="0.25">
      <c r="A20" s="5" t="s">
        <v>78</v>
      </c>
      <c r="B20" t="s">
        <v>13</v>
      </c>
      <c r="C20" t="s">
        <v>57</v>
      </c>
      <c r="D20" s="1">
        <v>9.0180216800045905</v>
      </c>
      <c r="E20" t="s">
        <v>57</v>
      </c>
      <c r="F20" s="9" t="s">
        <v>55</v>
      </c>
      <c r="G20" s="7" t="s">
        <v>133</v>
      </c>
      <c r="H20">
        <v>8.1162195120041307</v>
      </c>
      <c r="I20">
        <v>9.9198238480050502</v>
      </c>
      <c r="J20" t="s">
        <v>143</v>
      </c>
    </row>
    <row r="21" spans="1:11" x14ac:dyDescent="0.25">
      <c r="A21" s="5" t="s">
        <v>79</v>
      </c>
      <c r="B21" t="s">
        <v>80</v>
      </c>
      <c r="C21" t="s">
        <v>57</v>
      </c>
      <c r="D21" s="1">
        <v>6.7999999999999996E-3</v>
      </c>
      <c r="E21" t="s">
        <v>57</v>
      </c>
      <c r="F21" s="9" t="s">
        <v>55</v>
      </c>
      <c r="G21" s="7" t="s">
        <v>133</v>
      </c>
      <c r="H21" s="1">
        <f>D21*0.9</f>
        <v>6.1199999999999996E-3</v>
      </c>
      <c r="I21" s="1">
        <f>D21*1.1</f>
        <v>7.4800000000000005E-3</v>
      </c>
      <c r="J21" t="s">
        <v>143</v>
      </c>
    </row>
    <row r="22" spans="1:11" x14ac:dyDescent="0.25">
      <c r="A22" s="5" t="s">
        <v>81</v>
      </c>
      <c r="B22" t="s">
        <v>83</v>
      </c>
      <c r="C22" t="s">
        <v>57</v>
      </c>
      <c r="D22" s="1">
        <v>2.9679000000000001E-2</v>
      </c>
      <c r="E22" t="s">
        <v>57</v>
      </c>
      <c r="F22" s="9" t="s">
        <v>55</v>
      </c>
      <c r="G22" s="7" t="s">
        <v>133</v>
      </c>
      <c r="H22">
        <v>6.8489999999999995E-2</v>
      </c>
      <c r="I22">
        <v>8.3710000000000007E-2</v>
      </c>
      <c r="J22" t="s">
        <v>143</v>
      </c>
    </row>
    <row r="23" spans="1:11" x14ac:dyDescent="0.25">
      <c r="A23" s="5" t="s">
        <v>82</v>
      </c>
      <c r="B23" t="s">
        <v>84</v>
      </c>
      <c r="C23" t="s">
        <v>57</v>
      </c>
      <c r="D23" s="1">
        <v>4.6420999999999997E-2</v>
      </c>
      <c r="E23" t="s">
        <v>57</v>
      </c>
      <c r="F23" s="9" t="s">
        <v>55</v>
      </c>
      <c r="G23" s="7" t="s">
        <v>133</v>
      </c>
      <c r="H23" s="1">
        <f>D23*0.9</f>
        <v>4.1778900000000001E-2</v>
      </c>
      <c r="I23" s="1">
        <f>D23*1.1</f>
        <v>5.10631E-2</v>
      </c>
      <c r="J23" t="s">
        <v>143</v>
      </c>
    </row>
    <row r="24" spans="1:11" x14ac:dyDescent="0.25">
      <c r="A24" s="5" t="s">
        <v>85</v>
      </c>
      <c r="B24" t="s">
        <v>17</v>
      </c>
      <c r="C24" t="s">
        <v>57</v>
      </c>
      <c r="D24" s="1">
        <v>5.1999999999999998E-2</v>
      </c>
      <c r="E24" t="s">
        <v>57</v>
      </c>
      <c r="F24" s="9" t="s">
        <v>55</v>
      </c>
      <c r="G24" s="7" t="s">
        <v>133</v>
      </c>
      <c r="H24">
        <v>4.6800000000000001E-2</v>
      </c>
      <c r="I24">
        <v>5.7200000000000001E-2</v>
      </c>
      <c r="J24" t="s">
        <v>143</v>
      </c>
    </row>
    <row r="25" spans="1:11" x14ac:dyDescent="0.25">
      <c r="A25" s="5" t="s">
        <v>86</v>
      </c>
      <c r="B25" t="s">
        <v>15</v>
      </c>
      <c r="C25" t="s">
        <v>57</v>
      </c>
      <c r="D25" s="1">
        <v>0.14399999999999999</v>
      </c>
      <c r="E25" t="s">
        <v>57</v>
      </c>
      <c r="F25" s="9" t="s">
        <v>55</v>
      </c>
      <c r="G25" s="7" t="s">
        <v>133</v>
      </c>
      <c r="H25">
        <v>0.12959999999999999</v>
      </c>
      <c r="I25">
        <v>0.15840000000000001</v>
      </c>
      <c r="J25" t="s">
        <v>143</v>
      </c>
    </row>
    <row r="26" spans="1:11" x14ac:dyDescent="0.25">
      <c r="A26" s="5" t="s">
        <v>87</v>
      </c>
      <c r="B26" t="s">
        <v>16</v>
      </c>
      <c r="C26" t="s">
        <v>57</v>
      </c>
      <c r="D26" s="1">
        <v>6.5000088952794202E-2</v>
      </c>
      <c r="E26" t="s">
        <v>57</v>
      </c>
      <c r="F26" s="9" t="s">
        <v>55</v>
      </c>
      <c r="G26" s="7" t="s">
        <v>133</v>
      </c>
      <c r="H26">
        <v>5.8500080057514801E-2</v>
      </c>
      <c r="I26">
        <v>7.1500097848073596E-2</v>
      </c>
      <c r="J26" t="s">
        <v>143</v>
      </c>
    </row>
    <row r="27" spans="1:11" x14ac:dyDescent="0.25">
      <c r="A27" s="5" t="s">
        <v>88</v>
      </c>
      <c r="B27" t="s">
        <v>14</v>
      </c>
      <c r="C27" t="s">
        <v>57</v>
      </c>
      <c r="D27" s="1">
        <v>0.19600069415500501</v>
      </c>
      <c r="E27" t="s">
        <v>57</v>
      </c>
      <c r="F27" s="9" t="s">
        <v>55</v>
      </c>
      <c r="G27" s="7" t="s">
        <v>133</v>
      </c>
      <c r="H27">
        <v>0.17640062473950499</v>
      </c>
      <c r="I27">
        <v>0.215600763570506</v>
      </c>
      <c r="J27" t="s">
        <v>143</v>
      </c>
    </row>
    <row r="28" spans="1:11" x14ac:dyDescent="0.25">
      <c r="A28" s="5" t="s">
        <v>89</v>
      </c>
      <c r="B28" t="s">
        <v>18</v>
      </c>
      <c r="C28" t="s">
        <v>57</v>
      </c>
      <c r="D28" s="1">
        <v>7.2276779875435598E-2</v>
      </c>
      <c r="E28" t="s">
        <v>57</v>
      </c>
      <c r="F28" s="9" t="s">
        <v>55</v>
      </c>
      <c r="G28" s="7" t="s">
        <v>133</v>
      </c>
      <c r="H28">
        <v>6.5049101887891994E-2</v>
      </c>
      <c r="I28">
        <v>7.9504457862979203E-2</v>
      </c>
      <c r="J28" t="s">
        <v>143</v>
      </c>
    </row>
    <row r="29" spans="1:11" x14ac:dyDescent="0.25">
      <c r="A29" s="5" t="s">
        <v>90</v>
      </c>
      <c r="B29" t="s">
        <v>19</v>
      </c>
      <c r="C29" t="s">
        <v>57</v>
      </c>
      <c r="D29" s="1">
        <v>2.1999999999999999E-2</v>
      </c>
      <c r="E29" t="s">
        <v>57</v>
      </c>
      <c r="F29" s="9" t="s">
        <v>55</v>
      </c>
      <c r="G29" s="7" t="s">
        <v>133</v>
      </c>
      <c r="H29">
        <v>1.9800000000000002E-2</v>
      </c>
      <c r="I29">
        <v>2.4199999999999999E-2</v>
      </c>
      <c r="J29" t="s">
        <v>143</v>
      </c>
    </row>
    <row r="30" spans="1:11" x14ac:dyDescent="0.25">
      <c r="A30" s="5" t="s">
        <v>91</v>
      </c>
      <c r="B30" t="s">
        <v>20</v>
      </c>
      <c r="C30" t="s">
        <v>57</v>
      </c>
      <c r="D30" s="1">
        <v>0.18</v>
      </c>
      <c r="E30" t="s">
        <v>57</v>
      </c>
      <c r="F30" s="9" t="s">
        <v>55</v>
      </c>
      <c r="G30" s="7" t="s">
        <v>133</v>
      </c>
      <c r="H30">
        <v>0.16200000000000001</v>
      </c>
      <c r="I30">
        <v>0.19800000000000001</v>
      </c>
      <c r="J30" t="s">
        <v>143</v>
      </c>
    </row>
    <row r="31" spans="1:11" x14ac:dyDescent="0.25">
      <c r="A31" s="5" t="s">
        <v>92</v>
      </c>
      <c r="B31" t="s">
        <v>21</v>
      </c>
      <c r="C31" t="s">
        <v>57</v>
      </c>
      <c r="D31" s="1">
        <v>62.207999999999998</v>
      </c>
      <c r="E31" t="s">
        <v>57</v>
      </c>
      <c r="F31" s="9" t="s">
        <v>55</v>
      </c>
      <c r="G31" s="7" t="s">
        <v>133</v>
      </c>
      <c r="H31">
        <v>55.987200000000001</v>
      </c>
      <c r="I31">
        <v>68.428799999999995</v>
      </c>
      <c r="J31" t="s">
        <v>143</v>
      </c>
    </row>
    <row r="32" spans="1:11" x14ac:dyDescent="0.25">
      <c r="A32" s="5" t="s">
        <v>93</v>
      </c>
      <c r="B32" t="s">
        <v>22</v>
      </c>
      <c r="C32" t="s">
        <v>101</v>
      </c>
      <c r="D32" s="1">
        <v>2.16</v>
      </c>
      <c r="E32" t="s">
        <v>57</v>
      </c>
      <c r="F32" s="9" t="s">
        <v>55</v>
      </c>
      <c r="G32" s="7" t="s">
        <v>133</v>
      </c>
      <c r="H32">
        <v>1.944</v>
      </c>
      <c r="I32">
        <v>2.3759999999999999</v>
      </c>
      <c r="J32" t="s">
        <v>153</v>
      </c>
    </row>
    <row r="33" spans="1:11" x14ac:dyDescent="0.25">
      <c r="A33" s="5" t="s">
        <v>129</v>
      </c>
      <c r="B33" t="s">
        <v>23</v>
      </c>
      <c r="C33" t="s">
        <v>57</v>
      </c>
      <c r="D33" s="1">
        <v>0.5</v>
      </c>
      <c r="E33" t="s">
        <v>57</v>
      </c>
      <c r="F33" s="9" t="s">
        <v>55</v>
      </c>
      <c r="G33" s="7" t="s">
        <v>133</v>
      </c>
      <c r="H33">
        <v>0.45</v>
      </c>
      <c r="I33">
        <v>0.55000000000000004</v>
      </c>
      <c r="J33" t="s">
        <v>154</v>
      </c>
    </row>
    <row r="34" spans="1:11" x14ac:dyDescent="0.25">
      <c r="A34" s="5" t="s">
        <v>130</v>
      </c>
      <c r="B34" t="s">
        <v>24</v>
      </c>
      <c r="C34" t="s">
        <v>57</v>
      </c>
      <c r="D34" s="1">
        <v>3.8918918918918902E-4</v>
      </c>
      <c r="E34" t="s">
        <v>57</v>
      </c>
      <c r="F34" s="9" t="s">
        <v>55</v>
      </c>
      <c r="G34" s="7" t="s">
        <v>133</v>
      </c>
      <c r="H34">
        <v>3.5027027027027E-4</v>
      </c>
      <c r="I34">
        <v>4.2810810810810798E-4</v>
      </c>
      <c r="J34" t="s">
        <v>57</v>
      </c>
      <c r="K34" t="s">
        <v>155</v>
      </c>
    </row>
    <row r="35" spans="1:11" x14ac:dyDescent="0.25">
      <c r="A35" s="5" t="s">
        <v>131</v>
      </c>
      <c r="B35" t="s">
        <v>25</v>
      </c>
      <c r="C35" t="s">
        <v>57</v>
      </c>
      <c r="D35" s="1">
        <v>8.5999999999999993E-2</v>
      </c>
      <c r="E35" t="s">
        <v>57</v>
      </c>
      <c r="F35" s="9" t="s">
        <v>55</v>
      </c>
      <c r="G35" s="7" t="s">
        <v>133</v>
      </c>
      <c r="H35">
        <v>7.7399999999999997E-2</v>
      </c>
      <c r="I35">
        <v>9.4600000000000004E-2</v>
      </c>
      <c r="J35" t="s">
        <v>156</v>
      </c>
    </row>
    <row r="36" spans="1:11" x14ac:dyDescent="0.25">
      <c r="A36" s="5" t="s">
        <v>102</v>
      </c>
      <c r="B36" t="s">
        <v>26</v>
      </c>
      <c r="C36" t="s">
        <v>57</v>
      </c>
      <c r="D36" s="1">
        <v>6.0999999999999997E-4</v>
      </c>
      <c r="E36" s="1">
        <v>8.0000000000000004E-4</v>
      </c>
      <c r="F36" s="9" t="s">
        <v>55</v>
      </c>
      <c r="G36" s="10" t="s">
        <v>134</v>
      </c>
      <c r="H36">
        <v>5.4900000000000001E-4</v>
      </c>
      <c r="I36">
        <v>6.7100000000000005E-4</v>
      </c>
      <c r="J36" t="s">
        <v>140</v>
      </c>
      <c r="K36" t="s">
        <v>139</v>
      </c>
    </row>
    <row r="37" spans="1:11" x14ac:dyDescent="0.25">
      <c r="A37" s="5" t="s">
        <v>103</v>
      </c>
      <c r="B37" t="s">
        <v>27</v>
      </c>
      <c r="C37" t="s">
        <v>57</v>
      </c>
      <c r="D37" s="1">
        <v>1.8859999999999999</v>
      </c>
      <c r="E37" s="1">
        <v>1.1599999999999999</v>
      </c>
      <c r="F37" s="11" t="s">
        <v>136</v>
      </c>
      <c r="G37" s="8" t="s">
        <v>135</v>
      </c>
      <c r="H37">
        <v>1.6974</v>
      </c>
      <c r="I37">
        <v>2.0746000000000002</v>
      </c>
      <c r="J37" t="s">
        <v>141</v>
      </c>
    </row>
    <row r="38" spans="1:11" x14ac:dyDescent="0.25">
      <c r="A38" s="5" t="s">
        <v>104</v>
      </c>
      <c r="B38" t="s">
        <v>31</v>
      </c>
      <c r="C38" t="s">
        <v>57</v>
      </c>
      <c r="D38" s="1">
        <v>217.19370433788799</v>
      </c>
      <c r="E38" t="s">
        <v>57</v>
      </c>
      <c r="F38" s="9" t="s">
        <v>55</v>
      </c>
      <c r="G38" s="10" t="s">
        <v>134</v>
      </c>
      <c r="H38">
        <v>195.47433390409901</v>
      </c>
      <c r="I38">
        <v>238.913074771677</v>
      </c>
      <c r="J38" t="s">
        <v>57</v>
      </c>
      <c r="K38" t="s">
        <v>142</v>
      </c>
    </row>
    <row r="39" spans="1:11" x14ac:dyDescent="0.25">
      <c r="A39" s="5" t="s">
        <v>105</v>
      </c>
      <c r="B39" t="s">
        <v>29</v>
      </c>
      <c r="C39" t="s">
        <v>57</v>
      </c>
      <c r="D39" s="1">
        <v>62.776204468513903</v>
      </c>
      <c r="E39" t="s">
        <v>57</v>
      </c>
      <c r="F39" s="9" t="s">
        <v>55</v>
      </c>
      <c r="G39" s="10" t="s">
        <v>134</v>
      </c>
      <c r="H39">
        <v>56.498584021662502</v>
      </c>
      <c r="I39">
        <v>69.053824915365297</v>
      </c>
      <c r="J39" t="s">
        <v>57</v>
      </c>
      <c r="K39" t="s">
        <v>142</v>
      </c>
    </row>
    <row r="40" spans="1:11" x14ac:dyDescent="0.25">
      <c r="A40" s="5" t="s">
        <v>106</v>
      </c>
      <c r="B40" t="s">
        <v>30</v>
      </c>
      <c r="C40" t="s">
        <v>57</v>
      </c>
      <c r="D40" s="1">
        <v>133.53389126713401</v>
      </c>
      <c r="E40" t="s">
        <v>57</v>
      </c>
      <c r="F40" s="9" t="s">
        <v>55</v>
      </c>
      <c r="G40" s="10" t="s">
        <v>134</v>
      </c>
      <c r="H40">
        <v>120.180502140421</v>
      </c>
      <c r="I40">
        <v>146.88728039384699</v>
      </c>
      <c r="J40" t="s">
        <v>57</v>
      </c>
      <c r="K40" t="s">
        <v>142</v>
      </c>
    </row>
    <row r="41" spans="1:11" x14ac:dyDescent="0.25">
      <c r="A41" s="5" t="s">
        <v>107</v>
      </c>
      <c r="B41" t="s">
        <v>28</v>
      </c>
      <c r="C41" t="s">
        <v>57</v>
      </c>
      <c r="D41" s="1">
        <v>158.313456730377</v>
      </c>
      <c r="E41" t="s">
        <v>57</v>
      </c>
      <c r="F41" s="9" t="s">
        <v>55</v>
      </c>
      <c r="G41" s="10" t="s">
        <v>134</v>
      </c>
      <c r="H41">
        <v>142.48211105733901</v>
      </c>
      <c r="I41">
        <v>174.14480240341501</v>
      </c>
      <c r="J41" t="s">
        <v>57</v>
      </c>
      <c r="K41" t="s">
        <v>142</v>
      </c>
    </row>
    <row r="42" spans="1:11" x14ac:dyDescent="0.25">
      <c r="A42" s="5" t="s">
        <v>108</v>
      </c>
      <c r="B42" t="s">
        <v>32</v>
      </c>
      <c r="C42" t="s">
        <v>57</v>
      </c>
      <c r="D42" s="1">
        <v>179.74627730882</v>
      </c>
      <c r="E42" t="s">
        <v>57</v>
      </c>
      <c r="F42" s="9" t="s">
        <v>55</v>
      </c>
      <c r="G42" s="10" t="s">
        <v>134</v>
      </c>
      <c r="H42">
        <v>161.77164957793801</v>
      </c>
      <c r="I42">
        <v>197.72090503970199</v>
      </c>
      <c r="J42" t="s">
        <v>57</v>
      </c>
      <c r="K42" t="s">
        <v>142</v>
      </c>
    </row>
    <row r="43" spans="1:11" x14ac:dyDescent="0.25">
      <c r="A43" s="5" t="s">
        <v>109</v>
      </c>
      <c r="B43" t="s">
        <v>33</v>
      </c>
      <c r="C43" t="s">
        <v>57</v>
      </c>
      <c r="D43" s="1">
        <v>60.816502130281997</v>
      </c>
      <c r="E43" t="s">
        <v>57</v>
      </c>
      <c r="F43" s="9" t="s">
        <v>55</v>
      </c>
      <c r="G43" s="10" t="s">
        <v>134</v>
      </c>
      <c r="H43">
        <v>55.098552686317703</v>
      </c>
      <c r="I43">
        <v>67.3426755054994</v>
      </c>
      <c r="J43" t="s">
        <v>57</v>
      </c>
      <c r="K43" t="s">
        <v>142</v>
      </c>
    </row>
    <row r="44" spans="1:11" x14ac:dyDescent="0.25">
      <c r="A44" s="5" t="s">
        <v>110</v>
      </c>
      <c r="B44" t="s">
        <v>96</v>
      </c>
      <c r="C44" t="s">
        <v>57</v>
      </c>
      <c r="D44" s="1">
        <v>84.397292193915007</v>
      </c>
      <c r="E44" t="s">
        <v>57</v>
      </c>
      <c r="F44" s="9" t="s">
        <v>55</v>
      </c>
      <c r="G44" s="10" t="s">
        <v>134</v>
      </c>
      <c r="H44" s="1">
        <f>D44*0.9</f>
        <v>75.957562974523512</v>
      </c>
      <c r="I44" s="1">
        <f>D44*1.1</f>
        <v>92.837021413306516</v>
      </c>
      <c r="J44" t="s">
        <v>57</v>
      </c>
      <c r="K44" t="s">
        <v>142</v>
      </c>
    </row>
    <row r="45" spans="1:11" x14ac:dyDescent="0.25">
      <c r="A45" s="5" t="s">
        <v>111</v>
      </c>
      <c r="B45" t="s">
        <v>97</v>
      </c>
      <c r="C45" t="s">
        <v>125</v>
      </c>
      <c r="D45" s="1">
        <v>13.752000000000001</v>
      </c>
      <c r="E45" t="s">
        <v>57</v>
      </c>
      <c r="F45" s="9" t="s">
        <v>55</v>
      </c>
      <c r="G45" s="10" t="s">
        <v>134</v>
      </c>
      <c r="H45" s="1">
        <f>D45*0.9</f>
        <v>12.376800000000001</v>
      </c>
      <c r="I45" s="1">
        <f>D45*1.1</f>
        <v>15.127200000000002</v>
      </c>
      <c r="J45" t="s">
        <v>162</v>
      </c>
    </row>
    <row r="46" spans="1:11" x14ac:dyDescent="0.25">
      <c r="A46" s="5" t="s">
        <v>112</v>
      </c>
      <c r="B46" t="s">
        <v>37</v>
      </c>
      <c r="C46" t="s">
        <v>125</v>
      </c>
      <c r="D46" s="1">
        <v>7.3100000000000003E-6</v>
      </c>
      <c r="E46" t="s">
        <v>57</v>
      </c>
      <c r="F46" s="9" t="s">
        <v>55</v>
      </c>
      <c r="G46" s="10" t="s">
        <v>134</v>
      </c>
      <c r="H46" s="1">
        <v>6.579E-6</v>
      </c>
      <c r="I46" s="1">
        <v>8.0409999999999998E-6</v>
      </c>
      <c r="J46" t="s">
        <v>167</v>
      </c>
    </row>
    <row r="47" spans="1:11" x14ac:dyDescent="0.25">
      <c r="A47" s="5" t="s">
        <v>113</v>
      </c>
      <c r="B47" t="s">
        <v>38</v>
      </c>
      <c r="C47" t="s">
        <v>126</v>
      </c>
      <c r="D47" s="1">
        <v>2.305E-6</v>
      </c>
      <c r="E47" s="1">
        <f>0.295*0.000001</f>
        <v>2.9499999999999998E-7</v>
      </c>
      <c r="F47" s="11" t="s">
        <v>136</v>
      </c>
      <c r="G47" s="10" t="s">
        <v>134</v>
      </c>
      <c r="H47" s="1">
        <v>2.0744999999999998E-6</v>
      </c>
      <c r="I47" s="1">
        <v>2.5355000000000001E-6</v>
      </c>
      <c r="J47" t="s">
        <v>163</v>
      </c>
    </row>
    <row r="48" spans="1:11" x14ac:dyDescent="0.25">
      <c r="A48" s="5" t="s">
        <v>114</v>
      </c>
      <c r="B48" t="s">
        <v>39</v>
      </c>
      <c r="C48" t="s">
        <v>127</v>
      </c>
      <c r="D48" s="1">
        <v>52.65</v>
      </c>
      <c r="E48" s="1">
        <v>23.28</v>
      </c>
      <c r="F48" s="9" t="s">
        <v>55</v>
      </c>
      <c r="G48" s="10" t="s">
        <v>134</v>
      </c>
      <c r="H48">
        <v>47.384999999999998</v>
      </c>
      <c r="I48">
        <v>57.914999999999999</v>
      </c>
      <c r="J48" t="s">
        <v>164</v>
      </c>
    </row>
    <row r="49" spans="1:11" x14ac:dyDescent="0.25">
      <c r="A49" s="5" t="s">
        <v>115</v>
      </c>
      <c r="B49" t="s">
        <v>40</v>
      </c>
      <c r="C49" t="s">
        <v>126</v>
      </c>
      <c r="D49" s="1">
        <v>2.694E-6</v>
      </c>
      <c r="E49" s="1">
        <f>0.47*0.000001</f>
        <v>4.6999999999999995E-7</v>
      </c>
      <c r="F49" s="11" t="s">
        <v>136</v>
      </c>
      <c r="G49" s="10" t="s">
        <v>134</v>
      </c>
      <c r="H49" s="1">
        <v>2.4246E-6</v>
      </c>
      <c r="I49" s="1">
        <v>2.9633999999999999E-6</v>
      </c>
      <c r="J49" t="s">
        <v>165</v>
      </c>
    </row>
    <row r="50" spans="1:11" x14ac:dyDescent="0.25">
      <c r="A50" s="5" t="s">
        <v>116</v>
      </c>
      <c r="B50" t="s">
        <v>41</v>
      </c>
      <c r="C50" t="s">
        <v>127</v>
      </c>
      <c r="D50" s="1">
        <v>91.6</v>
      </c>
      <c r="E50" s="1">
        <v>47.7</v>
      </c>
      <c r="F50" s="9" t="s">
        <v>55</v>
      </c>
      <c r="G50" s="10" t="s">
        <v>134</v>
      </c>
      <c r="H50">
        <v>82.44</v>
      </c>
      <c r="I50">
        <v>100.76</v>
      </c>
      <c r="J50" t="s">
        <v>166</v>
      </c>
    </row>
    <row r="51" spans="1:11" x14ac:dyDescent="0.25">
      <c r="A51" s="5" t="s">
        <v>117</v>
      </c>
      <c r="B51" t="s">
        <v>94</v>
      </c>
      <c r="C51" t="s">
        <v>57</v>
      </c>
      <c r="D51" s="1">
        <v>16.6666666666667</v>
      </c>
      <c r="E51" t="s">
        <v>57</v>
      </c>
      <c r="F51" s="9" t="s">
        <v>55</v>
      </c>
      <c r="G51" s="8" t="s">
        <v>135</v>
      </c>
      <c r="H51">
        <v>15</v>
      </c>
      <c r="I51">
        <v>18.3333333333333</v>
      </c>
      <c r="J51" t="s">
        <v>57</v>
      </c>
      <c r="K51" t="s">
        <v>157</v>
      </c>
    </row>
    <row r="52" spans="1:11" x14ac:dyDescent="0.25">
      <c r="A52" s="5" t="s">
        <v>118</v>
      </c>
      <c r="B52" t="s">
        <v>95</v>
      </c>
      <c r="C52" t="s">
        <v>57</v>
      </c>
      <c r="D52" s="1">
        <v>1.3908205841446499</v>
      </c>
      <c r="E52" t="s">
        <v>57</v>
      </c>
      <c r="F52" s="9" t="s">
        <v>55</v>
      </c>
      <c r="G52" s="8" t="s">
        <v>135</v>
      </c>
      <c r="H52">
        <v>1.2517385257301801</v>
      </c>
      <c r="I52">
        <v>1.52990264255911</v>
      </c>
      <c r="J52" t="s">
        <v>57</v>
      </c>
      <c r="K52" t="s">
        <v>159</v>
      </c>
    </row>
    <row r="53" spans="1:11" x14ac:dyDescent="0.25">
      <c r="A53" s="5" t="s">
        <v>119</v>
      </c>
      <c r="B53" t="s">
        <v>42</v>
      </c>
      <c r="C53" t="s">
        <v>128</v>
      </c>
      <c r="D53" s="1">
        <v>7.1</v>
      </c>
      <c r="E53" s="1">
        <v>1.2780069999999999</v>
      </c>
      <c r="F53" s="11" t="s">
        <v>136</v>
      </c>
      <c r="G53" s="8" t="s">
        <v>135</v>
      </c>
      <c r="H53">
        <v>6.39</v>
      </c>
      <c r="I53">
        <v>7.81</v>
      </c>
      <c r="J53" t="s">
        <v>168</v>
      </c>
      <c r="K53" t="s">
        <v>158</v>
      </c>
    </row>
    <row r="54" spans="1:11" x14ac:dyDescent="0.25">
      <c r="A54" s="5" t="s">
        <v>120</v>
      </c>
      <c r="B54" t="s">
        <v>43</v>
      </c>
      <c r="C54" t="s">
        <v>127</v>
      </c>
      <c r="D54" s="1">
        <v>16.399999999999999</v>
      </c>
      <c r="E54" s="1">
        <v>11.03223</v>
      </c>
      <c r="F54" s="9" t="s">
        <v>55</v>
      </c>
      <c r="G54" s="8" t="s">
        <v>135</v>
      </c>
      <c r="H54">
        <v>14.76</v>
      </c>
      <c r="I54">
        <v>18.04</v>
      </c>
      <c r="J54" t="s">
        <v>169</v>
      </c>
    </row>
    <row r="55" spans="1:11" x14ac:dyDescent="0.25">
      <c r="A55" s="5" t="s">
        <v>121</v>
      </c>
      <c r="B55" t="s">
        <v>44</v>
      </c>
      <c r="C55" t="s">
        <v>57</v>
      </c>
      <c r="D55" s="1">
        <v>11.628539999999999</v>
      </c>
      <c r="E55" t="s">
        <v>57</v>
      </c>
      <c r="F55" s="9" t="s">
        <v>55</v>
      </c>
      <c r="G55" s="8" t="s">
        <v>135</v>
      </c>
      <c r="H55">
        <v>10.465686</v>
      </c>
      <c r="I55">
        <v>12.791394</v>
      </c>
      <c r="J55" t="s">
        <v>170</v>
      </c>
    </row>
    <row r="56" spans="1:11" x14ac:dyDescent="0.25">
      <c r="A56" s="5" t="s">
        <v>122</v>
      </c>
      <c r="B56" t="s">
        <v>34</v>
      </c>
      <c r="C56" t="s">
        <v>126</v>
      </c>
      <c r="D56" s="1">
        <v>4.5</v>
      </c>
      <c r="E56" s="1">
        <v>0.5</v>
      </c>
      <c r="F56" s="11" t="s">
        <v>136</v>
      </c>
      <c r="G56" s="8" t="s">
        <v>135</v>
      </c>
      <c r="H56">
        <v>4.05</v>
      </c>
      <c r="I56">
        <v>4.95</v>
      </c>
      <c r="J56" t="s">
        <v>160</v>
      </c>
    </row>
    <row r="57" spans="1:11" x14ac:dyDescent="0.25">
      <c r="A57" s="5" t="s">
        <v>123</v>
      </c>
      <c r="B57" t="s">
        <v>35</v>
      </c>
      <c r="C57" t="s">
        <v>127</v>
      </c>
      <c r="D57" s="1">
        <v>47</v>
      </c>
      <c r="E57" s="1">
        <v>15</v>
      </c>
      <c r="F57" s="9" t="s">
        <v>55</v>
      </c>
      <c r="G57" s="8" t="s">
        <v>135</v>
      </c>
      <c r="H57">
        <v>42.3</v>
      </c>
      <c r="I57">
        <v>51.7</v>
      </c>
      <c r="J57" t="s">
        <v>160</v>
      </c>
    </row>
    <row r="58" spans="1:11" x14ac:dyDescent="0.25">
      <c r="A58" s="5" t="s">
        <v>124</v>
      </c>
      <c r="B58" t="s">
        <v>36</v>
      </c>
      <c r="C58" t="s">
        <v>57</v>
      </c>
      <c r="D58" s="1">
        <v>108346</v>
      </c>
      <c r="E58" t="s">
        <v>57</v>
      </c>
      <c r="F58" s="9" t="s">
        <v>55</v>
      </c>
      <c r="G58" s="8" t="s">
        <v>135</v>
      </c>
      <c r="H58">
        <v>97511.4</v>
      </c>
      <c r="I58">
        <v>119180.6</v>
      </c>
      <c r="J58" t="s">
        <v>57</v>
      </c>
      <c r="K58" t="s">
        <v>161</v>
      </c>
    </row>
  </sheetData>
  <autoFilter ref="A1:I58" xr:uid="{46EAEE3C-079C-40F7-BE24-011E90FFA3D2}"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FF606A-0C1D-454C-855C-BF67C869A686}"/>
</file>

<file path=customXml/itemProps2.xml><?xml version="1.0" encoding="utf-8"?>
<ds:datastoreItem xmlns:ds="http://schemas.openxmlformats.org/officeDocument/2006/customXml" ds:itemID="{867EFD99-54CD-4FA9-8F31-F9446BFA86EF}"/>
</file>

<file path=customXml/itemProps3.xml><?xml version="1.0" encoding="utf-8"?>
<ds:datastoreItem xmlns:ds="http://schemas.openxmlformats.org/officeDocument/2006/customXml" ds:itemID="{D74D6208-4994-499B-8BDA-9143D2AE1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Pachoulide, Chrysanthi</dc:creator>
  <cp:lastModifiedBy>Pachoulide, Chrysanthi</cp:lastModifiedBy>
  <dcterms:created xsi:type="dcterms:W3CDTF">2025-03-19T09:12:26Z</dcterms:created>
  <dcterms:modified xsi:type="dcterms:W3CDTF">2025-03-19T14:26:04Z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